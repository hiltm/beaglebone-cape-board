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a\Documents\git\beaglebone-cape-board\REVA\DELIVERABLES\001-0002_Rev0_ASSY\"/>
    </mc:Choice>
  </mc:AlternateContent>
  <xr:revisionPtr revIDLastSave="0" documentId="13_ncr:1_{B9B43A0E-20B3-44BC-A9C0-A725A01788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M Report" sheetId="1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7" i="1"/>
  <c r="E8" i="1"/>
  <c r="C9" i="1"/>
  <c r="C8" i="1"/>
  <c r="C7" i="1"/>
  <c r="C10" i="1" s="1"/>
  <c r="E10" i="1" l="1"/>
  <c r="A14" i="1"/>
  <c r="A13" i="1"/>
</calcChain>
</file>

<file path=xl/sharedStrings.xml><?xml version="1.0" encoding="utf-8"?>
<sst xmlns="http://schemas.openxmlformats.org/spreadsheetml/2006/main" count="62" uniqueCount="58">
  <si>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</si>
  <si>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</si>
  <si>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</si>
  <si>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</si>
  <si>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</si>
  <si>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</si>
  <si>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</si>
  <si>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</si>
  <si>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</si>
  <si>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</si>
  <si>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</si>
  <si>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</si>
  <si>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</si>
  <si>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</si>
  <si>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DNS</t>
  </si>
  <si>
    <t>placements</t>
  </si>
  <si>
    <t>unique</t>
  </si>
  <si>
    <t>Surface Mount</t>
  </si>
  <si>
    <t>Thru-Hole</t>
  </si>
  <si>
    <t>Quantity</t>
  </si>
  <si>
    <t>Manufacturer Part Number 1</t>
  </si>
  <si>
    <t>Mount</t>
  </si>
  <si>
    <t>Designator</t>
  </si>
  <si>
    <t>Comment</t>
  </si>
  <si>
    <t>PackageDescription</t>
  </si>
  <si>
    <t>Supplier 1</t>
  </si>
  <si>
    <t>Digi-Key</t>
  </si>
  <si>
    <t>Supplier Part Number 1</t>
  </si>
  <si>
    <t>Manufacturer 1</t>
  </si>
  <si>
    <t>TE Connectivity</t>
  </si>
  <si>
    <t>Y:\PCB\15-11069_DIVER_FLASHLIGHT_PMT_GATE_BOARD\REV0\PROJECT\15-11069_DIVER_FLASHLIGHT_PMT_GATE_BOARD\15-11069_DIVER_FLASHLIGHT_PMT_GATE_BOARD.PrjPcb</t>
  </si>
  <si>
    <t>15-11069_DIVER_FLASHLIGHT_PMT_GATE_BOARD.PrjPcb</t>
  </si>
  <si>
    <t>Only Placed</t>
  </si>
  <si>
    <t>15-11069.PcbDoc</t>
  </si>
  <si>
    <t>Y:\PCB\15-11069_DIVER_FLASHLIGHT_PMT_GATE_BOARD\REV0\PROJECT\15-11069_DIVER_FLASHLIGHT_PMT_GATE_BOARD\15-11069.PcbDoc</t>
  </si>
  <si>
    <t>Bill of Materials for Variant [Only Placed] of PCB Document [15-11069.PcbDoc]</t>
  </si>
  <si>
    <t>44</t>
  </si>
  <si>
    <t>1:30 PM</t>
  </si>
  <si>
    <t>1/12/2024</t>
  </si>
  <si>
    <t>1/12/2024 1:30 PM</t>
  </si>
  <si>
    <t>Bill of Materials</t>
  </si>
  <si>
    <t>BomReport</t>
  </si>
  <si>
    <t>BOM</t>
  </si>
  <si>
    <t>001-0002</t>
  </si>
  <si>
    <t>BEAGLEBONE CAPE BOARD</t>
  </si>
  <si>
    <t>HILT</t>
  </si>
  <si>
    <t>J1, J2</t>
  </si>
  <si>
    <t>5-1814832-2</t>
  </si>
  <si>
    <t>2X23 MALE HEADERS FOR BEAGLEBONE</t>
  </si>
  <si>
    <t>Adafruit</t>
  </si>
  <si>
    <t>1528-2021-ND</t>
  </si>
  <si>
    <t>Header Pins</t>
  </si>
  <si>
    <t>SMA</t>
  </si>
  <si>
    <t>17-5-1814832-2TR-ND</t>
  </si>
  <si>
    <t>SMA STR PCB SKT GZD</t>
  </si>
  <si>
    <t>J3, J4, J5, J6, J7, J8</t>
  </si>
  <si>
    <t>REVA</t>
  </si>
  <si>
    <t>LAST MODIFIED 2026JUN21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</si>
</sst>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9" fillId="0" borderId="11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2" applyNumberFormat="0" applyAlignment="0" applyProtection="0"/>
    <xf numFmtId="0" fontId="14" fillId="8" borderId="13" applyNumberFormat="0" applyAlignment="0" applyProtection="0"/>
    <xf numFmtId="0" fontId="15" fillId="8" borderId="12" applyNumberFormat="0" applyAlignment="0" applyProtection="0"/>
    <xf numFmtId="0" fontId="16" fillId="0" borderId="14" applyNumberFormat="0" applyFill="0" applyAlignment="0" applyProtection="0"/>
    <xf numFmtId="0" fontId="17" fillId="9" borderId="15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7" applyNumberFormat="0" applyFill="0" applyAlignment="0" applyProtection="0"/>
    <xf numFmtId="0" fontId="2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1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0" borderId="16" applyNumberFormat="0" applyFont="0" applyAlignment="0" applyProtection="0"/>
  </cellStyleXfs>
  <cellXfs count="29">
    <xf numFmtId="0" fontId="0" fillId="0" borderId="0" xfId="0"/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7" xfId="0" applyBorder="1" applyAlignment="1">
      <alignment vertical="top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164" fontId="5" fillId="0" borderId="7" xfId="0" applyNumberFormat="1" applyFont="1" applyBorder="1" applyAlignment="1">
      <alignment horizontal="left" vertical="top" wrapText="1"/>
    </xf>
    <xf numFmtId="1" fontId="5" fillId="0" borderId="7" xfId="0" applyNumberFormat="1" applyFont="1" applyBorder="1" applyAlignment="1">
      <alignment vertical="top"/>
    </xf>
    <xf numFmtId="0" fontId="4" fillId="0" borderId="8" xfId="0" applyFont="1" applyBorder="1" applyAlignment="1">
      <alignment horizontal="left" vertical="center" textRotation="45"/>
    </xf>
    <xf numFmtId="0" fontId="4" fillId="0" borderId="8" xfId="0" applyFont="1" applyBorder="1" applyAlignment="1">
      <alignment vertical="center" textRotation="45"/>
    </xf>
    <xf numFmtId="0" fontId="4" fillId="0" borderId="7" xfId="0" applyFont="1" applyBorder="1" applyAlignment="1">
      <alignment vertical="center" textRotation="45"/>
    </xf>
    <xf numFmtId="0" fontId="2" fillId="0" borderId="0" xfId="41"/>
    <xf numFmtId="0" fontId="20" fillId="0" borderId="0" xfId="41" applyFont="1"/>
    <xf numFmtId="49" fontId="20" fillId="0" borderId="0" xfId="41" applyNumberFormat="1" applyFont="1"/>
    <xf numFmtId="0" fontId="20" fillId="0" borderId="0" xfId="41" applyFont="1" applyAlignment="1">
      <alignment horizontal="right"/>
    </xf>
    <xf numFmtId="0" fontId="0" fillId="3" borderId="2" xfId="0" quotePrefix="1" applyFill="1" applyBorder="1" applyAlignment="1">
      <alignment horizontal="left" vertical="center"/>
    </xf>
    <xf numFmtId="0" fontId="0" fillId="2" borderId="4" xfId="0" quotePrefix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left" vertical="center"/>
    </xf>
    <xf numFmtId="0" fontId="0" fillId="2" borderId="6" xfId="0" quotePrefix="1" applyFill="1" applyBorder="1" applyAlignment="1">
      <alignment horizontal="left" vertical="center"/>
    </xf>
    <xf numFmtId="0" fontId="1" fillId="0" borderId="0" xfId="41" applyFont="1"/>
    <xf numFmtId="0" fontId="0" fillId="0" borderId="7" xfId="0" applyBorder="1" applyAlignment="1">
      <alignment vertical="center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30000000}"/>
    <cellStyle name="Note 2" xfId="42" xr:uid="{00000000-0005-0000-0000-000031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1">
    <dxf>
      <font>
        <color auto="1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showGridLines="0" tabSelected="1" zoomScaleNormal="100" workbookViewId="0">
      <pane ySplit="12" topLeftCell="A13" activePane="bottomLeft" state="frozen"/>
      <selection pane="bottomLeft" activeCell="C2" sqref="C2"/>
    </sheetView>
  </sheetViews>
  <sheetFormatPr defaultColWidth="9.140625" defaultRowHeight="12.75" x14ac:dyDescent="0.2"/>
  <cols>
    <col min="1" max="1" width="16.42578125" style="1" customWidth="1"/>
    <col min="2" max="2" width="18.140625" style="1" customWidth="1"/>
    <col min="3" max="3" width="36.140625" style="1" customWidth="1"/>
    <col min="4" max="4" width="26" style="1" customWidth="1"/>
    <col min="5" max="5" width="14.42578125" style="3" customWidth="1"/>
    <col min="6" max="6" width="26" style="3" customWidth="1"/>
    <col min="7" max="7" width="14.42578125" style="3" customWidth="1"/>
    <col min="8" max="8" width="15.28515625" style="1" customWidth="1"/>
    <col min="9" max="9" width="30.5703125" style="1" customWidth="1"/>
    <col min="10" max="10" width="16.5703125" style="1" customWidth="1"/>
    <col min="11" max="16384" width="9.140625" style="1"/>
  </cols>
  <sheetData>
    <row r="1" spans="1:11" x14ac:dyDescent="0.2">
      <c r="B1" s="1" t="s">
        <v>43</v>
      </c>
      <c r="C1" s="1" t="s">
        <v>56</v>
      </c>
    </row>
    <row r="2" spans="1:11" x14ac:dyDescent="0.2">
      <c r="B2" s="1" t="s">
        <v>57</v>
      </c>
    </row>
    <row r="4" spans="1:11" ht="15" x14ac:dyDescent="0.25">
      <c r="B4" s="27" t="s">
        <v>44</v>
      </c>
      <c r="C4" s="19"/>
      <c r="D4" s="19"/>
      <c r="E4" s="19"/>
    </row>
    <row r="5" spans="1:11" ht="15" x14ac:dyDescent="0.25">
      <c r="B5" s="27" t="s">
        <v>45</v>
      </c>
      <c r="C5" s="19"/>
      <c r="D5" s="19"/>
      <c r="E5" s="19"/>
    </row>
    <row r="7" spans="1:11" ht="15" x14ac:dyDescent="0.25">
      <c r="B7" s="20" t="s">
        <v>17</v>
      </c>
      <c r="C7" s="20">
        <f>SUMIF($D$13:$D$39,B7,$B$13:B39)</f>
        <v>0</v>
      </c>
      <c r="D7" s="21"/>
      <c r="E7" s="20">
        <f>COUNTIF($D$13:$D$39,B7)</f>
        <v>0</v>
      </c>
    </row>
    <row r="8" spans="1:11" ht="15" x14ac:dyDescent="0.25">
      <c r="B8" s="20" t="s">
        <v>18</v>
      </c>
      <c r="C8" s="20">
        <f>SUMIF($D$13:$D$39,B8,$B$13:B40)</f>
        <v>8</v>
      </c>
      <c r="D8" s="21"/>
      <c r="E8" s="20">
        <f>COUNTIF($D$13:$D$39,B8)</f>
        <v>2</v>
      </c>
    </row>
    <row r="9" spans="1:11" ht="15" x14ac:dyDescent="0.25">
      <c r="B9" s="20" t="s">
        <v>14</v>
      </c>
      <c r="C9" s="20">
        <f>SUMIF($D$13:$D$39,B9,$B$13:B41)</f>
        <v>0</v>
      </c>
      <c r="D9" s="21"/>
      <c r="E9" s="20">
        <f>COUNTIF($D$13:$D$39,B9)</f>
        <v>0</v>
      </c>
    </row>
    <row r="10" spans="1:11" ht="15" x14ac:dyDescent="0.25">
      <c r="B10" s="20" t="s">
        <v>15</v>
      </c>
      <c r="C10" s="20">
        <f>SUM(C7:C8)</f>
        <v>8</v>
      </c>
      <c r="D10" s="21" t="s">
        <v>16</v>
      </c>
      <c r="E10" s="22">
        <f>SUM(E7:E8)</f>
        <v>2</v>
      </c>
    </row>
    <row r="12" spans="1:11" ht="96.75" x14ac:dyDescent="0.2">
      <c r="B12" s="18" t="s">
        <v>19</v>
      </c>
      <c r="C12" s="17" t="s">
        <v>20</v>
      </c>
      <c r="D12" s="17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  <c r="I12" s="17" t="s">
        <v>27</v>
      </c>
      <c r="J12" s="17" t="s">
        <v>28</v>
      </c>
      <c r="K12" s="10"/>
    </row>
    <row r="13" spans="1:11" ht="37.5" customHeight="1" x14ac:dyDescent="0.2">
      <c r="A13" s="11">
        <f>ROW()-1</f>
        <v>12</v>
      </c>
      <c r="B13" s="15">
        <v>2</v>
      </c>
      <c r="C13" s="12">
        <v>2076</v>
      </c>
      <c r="D13" s="13" t="s">
        <v>18</v>
      </c>
      <c r="E13" s="12" t="s">
        <v>46</v>
      </c>
      <c r="F13" s="12" t="s">
        <v>48</v>
      </c>
      <c r="G13" s="14" t="s">
        <v>51</v>
      </c>
      <c r="H13" s="13" t="s">
        <v>26</v>
      </c>
      <c r="I13" s="13" t="s">
        <v>50</v>
      </c>
      <c r="J13" s="13" t="s">
        <v>49</v>
      </c>
    </row>
    <row r="14" spans="1:11" ht="36" customHeight="1" x14ac:dyDescent="0.2">
      <c r="A14" s="11">
        <f t="shared" ref="A14" si="0">ROW()-1</f>
        <v>13</v>
      </c>
      <c r="B14" s="15">
        <v>6</v>
      </c>
      <c r="C14" s="13" t="s">
        <v>47</v>
      </c>
      <c r="D14" s="13" t="s">
        <v>18</v>
      </c>
      <c r="E14" s="12" t="s">
        <v>55</v>
      </c>
      <c r="F14" s="12" t="s">
        <v>54</v>
      </c>
      <c r="G14" s="14" t="s">
        <v>52</v>
      </c>
      <c r="H14" s="13" t="s">
        <v>26</v>
      </c>
      <c r="I14" s="28" t="s">
        <v>53</v>
      </c>
      <c r="J14" s="13" t="s">
        <v>29</v>
      </c>
    </row>
    <row r="15" spans="1:11" x14ac:dyDescent="0.2">
      <c r="B15"/>
      <c r="C15"/>
      <c r="D15"/>
      <c r="E15"/>
      <c r="F15"/>
      <c r="G15"/>
      <c r="H15"/>
      <c r="I15"/>
      <c r="J15"/>
    </row>
    <row r="16" spans="1:11" ht="15.75" customHeight="1" x14ac:dyDescent="0.2">
      <c r="B16"/>
      <c r="C16"/>
      <c r="D16"/>
      <c r="E16"/>
      <c r="F16"/>
      <c r="G16"/>
      <c r="H16"/>
      <c r="I16"/>
      <c r="J16"/>
    </row>
    <row r="17" spans="2:10" ht="15.75" customHeight="1" x14ac:dyDescent="0.2">
      <c r="B17"/>
      <c r="C17"/>
      <c r="D17"/>
      <c r="E17"/>
      <c r="F17"/>
      <c r="G17"/>
      <c r="H17"/>
      <c r="I17"/>
      <c r="J17"/>
    </row>
    <row r="18" spans="2:10" ht="15.75" customHeight="1" x14ac:dyDescent="0.2">
      <c r="B18"/>
      <c r="C18"/>
      <c r="D18"/>
      <c r="E18"/>
      <c r="F18"/>
      <c r="G18"/>
      <c r="H18"/>
      <c r="I18"/>
      <c r="J18"/>
    </row>
    <row r="19" spans="2:10" ht="15.75" customHeight="1" x14ac:dyDescent="0.2">
      <c r="B19"/>
      <c r="C19"/>
      <c r="D19"/>
      <c r="E19"/>
      <c r="F19"/>
      <c r="G19"/>
      <c r="H19"/>
      <c r="I19"/>
      <c r="J19"/>
    </row>
    <row r="20" spans="2:10" s="10" customFormat="1" ht="19.5" customHeight="1" x14ac:dyDescent="0.2">
      <c r="B20"/>
      <c r="C20"/>
      <c r="D20"/>
      <c r="E20"/>
      <c r="F20"/>
      <c r="G20"/>
      <c r="H20"/>
      <c r="I20"/>
      <c r="J20"/>
    </row>
    <row r="21" spans="2:10" s="2" customFormat="1" ht="16.5" customHeight="1" x14ac:dyDescent="0.2">
      <c r="B21"/>
      <c r="C21"/>
      <c r="D21"/>
      <c r="E21"/>
      <c r="F21"/>
      <c r="G21"/>
      <c r="H21"/>
      <c r="I21"/>
      <c r="J21"/>
    </row>
    <row r="22" spans="2:10" s="2" customFormat="1" ht="16.5" customHeight="1" x14ac:dyDescent="0.2">
      <c r="B22"/>
      <c r="C22"/>
      <c r="D22"/>
      <c r="E22"/>
      <c r="F22"/>
      <c r="G22"/>
      <c r="H22"/>
      <c r="I22"/>
      <c r="J22"/>
    </row>
    <row r="23" spans="2:10" s="2" customFormat="1" ht="16.5" customHeight="1" x14ac:dyDescent="0.2">
      <c r="B23"/>
      <c r="C23"/>
      <c r="D23"/>
      <c r="E23"/>
      <c r="F23"/>
      <c r="G23"/>
      <c r="H23"/>
      <c r="I23"/>
      <c r="J23"/>
    </row>
    <row r="25" spans="2:10" customFormat="1" ht="13.7" customHeight="1" x14ac:dyDescent="0.2">
      <c r="B25" s="1"/>
      <c r="C25" s="1"/>
      <c r="D25" s="1"/>
      <c r="E25" s="3"/>
      <c r="F25" s="3"/>
      <c r="G25" s="3"/>
      <c r="H25" s="1"/>
      <c r="I25" s="1"/>
      <c r="J25" s="1"/>
    </row>
    <row r="26" spans="2:10" customFormat="1" ht="12.95" customHeight="1" x14ac:dyDescent="0.2">
      <c r="B26" s="1"/>
      <c r="C26" s="1"/>
      <c r="D26" s="1"/>
      <c r="E26" s="3"/>
      <c r="F26" s="3"/>
      <c r="G26" s="3"/>
      <c r="H26" s="1"/>
      <c r="I26" s="1"/>
      <c r="J26" s="1"/>
    </row>
    <row r="27" spans="2:10" customFormat="1" ht="12.95" customHeight="1" x14ac:dyDescent="0.2">
      <c r="B27" s="1"/>
      <c r="C27" s="1"/>
      <c r="D27" s="1"/>
      <c r="E27" s="3"/>
      <c r="F27" s="3"/>
      <c r="G27" s="3"/>
      <c r="H27" s="1"/>
      <c r="I27" s="1"/>
      <c r="J27" s="1"/>
    </row>
    <row r="28" spans="2:10" customFormat="1" ht="12.95" customHeight="1" x14ac:dyDescent="0.2">
      <c r="B28" s="1"/>
      <c r="C28" s="1"/>
      <c r="D28" s="1"/>
      <c r="E28" s="3"/>
      <c r="F28" s="3"/>
      <c r="G28" s="3"/>
      <c r="H28" s="1"/>
      <c r="I28" s="1"/>
      <c r="J28" s="1"/>
    </row>
    <row r="29" spans="2:10" customFormat="1" ht="12.95" customHeight="1" x14ac:dyDescent="0.2">
      <c r="B29" s="1"/>
      <c r="C29" s="1"/>
      <c r="D29" s="1"/>
      <c r="E29" s="3"/>
      <c r="F29" s="3"/>
      <c r="G29" s="3"/>
      <c r="H29" s="1"/>
      <c r="I29" s="1"/>
      <c r="J29" s="1"/>
    </row>
    <row r="30" spans="2:10" customFormat="1" ht="9.75" customHeight="1" x14ac:dyDescent="0.2">
      <c r="B30" s="1"/>
      <c r="C30" s="1"/>
      <c r="D30" s="1"/>
      <c r="E30" s="3"/>
      <c r="F30" s="3"/>
      <c r="G30" s="3"/>
      <c r="H30" s="1"/>
      <c r="I30" s="1"/>
      <c r="J30" s="1"/>
    </row>
    <row r="31" spans="2:10" customFormat="1" ht="12.95" customHeight="1" x14ac:dyDescent="0.2">
      <c r="B31" s="1"/>
      <c r="C31" s="1"/>
      <c r="D31" s="1"/>
      <c r="E31" s="3"/>
      <c r="F31" s="3"/>
      <c r="G31" s="3"/>
      <c r="H31" s="1"/>
      <c r="I31" s="1"/>
      <c r="J31" s="1"/>
    </row>
    <row r="32" spans="2:10" customFormat="1" ht="12.95" customHeight="1" x14ac:dyDescent="0.2">
      <c r="B32" s="1"/>
      <c r="C32" s="1"/>
      <c r="D32" s="1"/>
      <c r="E32" s="3"/>
      <c r="F32" s="3"/>
      <c r="G32" s="3"/>
      <c r="H32" s="1"/>
      <c r="I32" s="1"/>
      <c r="J32" s="1"/>
    </row>
    <row r="33" spans="2:10" customFormat="1" ht="12.95" customHeight="1" x14ac:dyDescent="0.2">
      <c r="B33" s="1"/>
      <c r="C33" s="1"/>
      <c r="D33" s="1"/>
      <c r="E33" s="3"/>
      <c r="F33" s="3"/>
      <c r="G33" s="3"/>
      <c r="H33" s="1"/>
      <c r="I33" s="1"/>
      <c r="J33" s="1"/>
    </row>
  </sheetData>
  <phoneticPr fontId="0" type="noConversion"/>
  <conditionalFormatting sqref="D13:D14">
    <cfRule type="cellIs" dxfId="0" priority="1" operator="equal">
      <formula>"DNS"</formula>
    </cfRule>
  </conditionalFormatting>
  <printOptions horizontalCentered="1" verticalCentered="1"/>
  <pageMargins left="0" right="0" top="0" bottom="0" header="0" footer="0"/>
  <pageSetup paperSize="9" scale="71" pageOrder="overThenDown" orientation="landscape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4" sqref="B14"/>
    </sheetView>
  </sheetViews>
  <sheetFormatPr defaultRowHeight="12.75" x14ac:dyDescent="0.2"/>
  <cols>
    <col min="1" max="1" width="30.28515625" style="4" customWidth="1"/>
    <col min="2" max="2" width="108.5703125" style="4" customWidth="1"/>
  </cols>
  <sheetData>
    <row r="1" spans="1:2" s="6" customFormat="1" ht="17.25" customHeight="1" x14ac:dyDescent="0.2">
      <c r="A1" s="5" t="s">
        <v>1</v>
      </c>
      <c r="B1" s="23" t="s">
        <v>30</v>
      </c>
    </row>
    <row r="2" spans="1:2" s="6" customFormat="1" ht="17.25" customHeight="1" x14ac:dyDescent="0.2">
      <c r="A2" s="7" t="s">
        <v>3</v>
      </c>
      <c r="B2" s="24" t="s">
        <v>31</v>
      </c>
    </row>
    <row r="3" spans="1:2" s="6" customFormat="1" ht="17.25" customHeight="1" x14ac:dyDescent="0.2">
      <c r="A3" s="8" t="s">
        <v>2</v>
      </c>
      <c r="B3" s="25" t="s">
        <v>32</v>
      </c>
    </row>
    <row r="4" spans="1:2" s="6" customFormat="1" ht="17.25" customHeight="1" x14ac:dyDescent="0.2">
      <c r="A4" s="7" t="s">
        <v>4</v>
      </c>
      <c r="B4" s="24" t="s">
        <v>33</v>
      </c>
    </row>
    <row r="5" spans="1:2" s="6" customFormat="1" ht="17.25" customHeight="1" x14ac:dyDescent="0.2">
      <c r="A5" s="8" t="s">
        <v>5</v>
      </c>
      <c r="B5" s="25" t="s">
        <v>34</v>
      </c>
    </row>
    <row r="6" spans="1:2" s="6" customFormat="1" ht="17.25" customHeight="1" x14ac:dyDescent="0.2">
      <c r="A6" s="7" t="s">
        <v>0</v>
      </c>
      <c r="B6" s="24" t="s">
        <v>35</v>
      </c>
    </row>
    <row r="7" spans="1:2" s="6" customFormat="1" ht="17.25" customHeight="1" x14ac:dyDescent="0.2">
      <c r="A7" s="8" t="s">
        <v>6</v>
      </c>
      <c r="B7" s="25" t="s">
        <v>36</v>
      </c>
    </row>
    <row r="8" spans="1:2" s="6" customFormat="1" ht="17.25" customHeight="1" x14ac:dyDescent="0.2">
      <c r="A8" s="7" t="s">
        <v>7</v>
      </c>
      <c r="B8" s="24" t="s">
        <v>37</v>
      </c>
    </row>
    <row r="9" spans="1:2" s="6" customFormat="1" ht="17.25" customHeight="1" x14ac:dyDescent="0.2">
      <c r="A9" s="8" t="s">
        <v>8</v>
      </c>
      <c r="B9" s="25" t="s">
        <v>38</v>
      </c>
    </row>
    <row r="10" spans="1:2" s="6" customFormat="1" ht="17.25" customHeight="1" x14ac:dyDescent="0.2">
      <c r="A10" s="7" t="s">
        <v>10</v>
      </c>
      <c r="B10" s="24" t="s">
        <v>39</v>
      </c>
    </row>
    <row r="11" spans="1:2" s="6" customFormat="1" ht="17.25" customHeight="1" x14ac:dyDescent="0.2">
      <c r="A11" s="8" t="s">
        <v>9</v>
      </c>
      <c r="B11" s="25" t="s">
        <v>40</v>
      </c>
    </row>
    <row r="12" spans="1:2" s="6" customFormat="1" ht="17.25" customHeight="1" x14ac:dyDescent="0.2">
      <c r="A12" s="7" t="s">
        <v>11</v>
      </c>
      <c r="B12" s="24" t="s">
        <v>41</v>
      </c>
    </row>
    <row r="13" spans="1:2" s="6" customFormat="1" ht="17.25" customHeight="1" x14ac:dyDescent="0.2">
      <c r="A13" s="8" t="s">
        <v>12</v>
      </c>
      <c r="B13" s="25" t="s">
        <v>42</v>
      </c>
    </row>
    <row r="14" spans="1:2" s="6" customFormat="1" ht="17.25" customHeight="1" thickBot="1" x14ac:dyDescent="0.25">
      <c r="A14" s="9" t="s">
        <v>13</v>
      </c>
      <c r="B14" s="26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</dc:creator>
  <cp:lastModifiedBy>Michael Hilt</cp:lastModifiedBy>
  <cp:lastPrinted>2025-11-10T19:19:00Z</cp:lastPrinted>
  <dcterms:created xsi:type="dcterms:W3CDTF">2000-10-27T00:30:29Z</dcterms:created>
  <dcterms:modified xsi:type="dcterms:W3CDTF">2026-06-21T05:39:38Z</dcterms:modified>
</cp:coreProperties>
</file>